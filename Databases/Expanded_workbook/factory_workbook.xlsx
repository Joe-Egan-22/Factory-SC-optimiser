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ummer_projects_2026\Factory-SC-optimiser\Databases\Expanded_workbook\"/>
    </mc:Choice>
  </mc:AlternateContent>
  <xr:revisionPtr revIDLastSave="0" documentId="13_ncr:1_{D19B7532-76DD-4B99-A9DA-6D7BE0A9831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Dashboard" sheetId="1" r:id="rId1"/>
    <sheet name="Products" sheetId="2" r:id="rId2"/>
    <sheet name="BOM" sheetId="3" r:id="rId3"/>
    <sheet name="ProductionPlan" sheetId="4" r:id="rId4"/>
    <sheet name="DailyProduction" sheetId="5" r:id="rId5"/>
    <sheet name="Inventory" sheetId="6" r:id="rId6"/>
    <sheet name="Purchasing" sheetId="7" r:id="rId7"/>
    <sheet name="Machines" sheetId="8" r:id="rId8"/>
    <sheet name="Maintenance" sheetId="9" r:id="rId9"/>
    <sheet name="QualityControl" sheetId="10" r:id="rId10"/>
    <sheet name="Staff&amp;Shifts" sheetId="11" r:id="rId11"/>
    <sheet name="ProductCosting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9" i="1"/>
  <c r="B10" i="1"/>
  <c r="B11" i="1"/>
  <c r="B12" i="1"/>
  <c r="C2" i="12"/>
  <c r="F2" i="12" s="1"/>
  <c r="H2" i="12" s="1"/>
  <c r="I2" i="12" s="1"/>
  <c r="C3" i="12"/>
  <c r="F3" i="12" s="1"/>
  <c r="H3" i="12" s="1"/>
  <c r="I3" i="12" s="1"/>
  <c r="C4" i="12"/>
  <c r="F4" i="12" s="1"/>
  <c r="H4" i="12" s="1"/>
  <c r="I4" i="12" s="1"/>
  <c r="H2" i="8"/>
  <c r="H3" i="8"/>
  <c r="H4" i="8"/>
  <c r="H5" i="8"/>
  <c r="H6" i="8"/>
  <c r="I2" i="7"/>
  <c r="I3" i="7"/>
  <c r="I4" i="7"/>
  <c r="H2" i="6"/>
  <c r="L2" i="6"/>
  <c r="H3" i="6"/>
  <c r="L3" i="6"/>
  <c r="H4" i="6"/>
  <c r="L4" i="6"/>
  <c r="H5" i="6"/>
  <c r="L5" i="6"/>
  <c r="H6" i="6"/>
  <c r="L6" i="6" s="1"/>
  <c r="H7" i="6"/>
  <c r="L7" i="6"/>
  <c r="H8" i="6"/>
  <c r="L8" i="6"/>
  <c r="H9" i="6"/>
  <c r="L9" i="6"/>
  <c r="O3" i="5"/>
  <c r="O4" i="5"/>
  <c r="O2" i="5"/>
  <c r="N3" i="5"/>
  <c r="N4" i="5"/>
  <c r="N2" i="5"/>
  <c r="M3" i="5"/>
  <c r="M4" i="5"/>
  <c r="M2" i="5"/>
  <c r="B8" i="1" l="1"/>
  <c r="B7" i="1"/>
</calcChain>
</file>

<file path=xl/sharedStrings.xml><?xml version="1.0" encoding="utf-8"?>
<sst xmlns="http://schemas.openxmlformats.org/spreadsheetml/2006/main" count="419" uniqueCount="201">
  <si>
    <t>Product Code</t>
  </si>
  <si>
    <t>Product Name</t>
  </si>
  <si>
    <t>Product Category</t>
  </si>
  <si>
    <t>Unit</t>
  </si>
  <si>
    <t>Standard Selling Price</t>
  </si>
  <si>
    <t>Standard Production Time (hrs)</t>
  </si>
  <si>
    <t>Active</t>
  </si>
  <si>
    <t>P-1001</t>
  </si>
  <si>
    <t>Steel Cabinet</t>
  </si>
  <si>
    <t>Finished Product</t>
  </si>
  <si>
    <t>each</t>
  </si>
  <si>
    <t>Yes</t>
  </si>
  <si>
    <t>P-1002</t>
  </si>
  <si>
    <t>Steel Workbench</t>
  </si>
  <si>
    <t>P-1003</t>
  </si>
  <si>
    <t>Steel Storage Locker</t>
  </si>
  <si>
    <t>P-1004</t>
  </si>
  <si>
    <t>Tool Cabinet</t>
  </si>
  <si>
    <t>BOM ID</t>
  </si>
  <si>
    <t>Component Code</t>
  </si>
  <si>
    <t>Component Description</t>
  </si>
  <si>
    <t>Component Type</t>
  </si>
  <si>
    <t>Qty Per Unit</t>
  </si>
  <si>
    <t>Scrap %</t>
  </si>
  <si>
    <t>Effective Date</t>
  </si>
  <si>
    <t>BOM-001</t>
  </si>
  <si>
    <t>RM-001</t>
  </si>
  <si>
    <t>Mild Steel Sheet</t>
  </si>
  <si>
    <t>Raw Material</t>
  </si>
  <si>
    <t>kg</t>
  </si>
  <si>
    <t>BOM-002</t>
  </si>
  <si>
    <t>RM-002</t>
  </si>
  <si>
    <t>Steel Handle</t>
  </si>
  <si>
    <t>Component</t>
  </si>
  <si>
    <t>BOM-003</t>
  </si>
  <si>
    <t>RM-003</t>
  </si>
  <si>
    <t>Hinge</t>
  </si>
  <si>
    <t>BOM-004</t>
  </si>
  <si>
    <t>RM-004</t>
  </si>
  <si>
    <t>Lock Assembly</t>
  </si>
  <si>
    <t>BOM-005</t>
  </si>
  <si>
    <t>RM-005</t>
  </si>
  <si>
    <t>Powder Paint</t>
  </si>
  <si>
    <t>BOM-006</t>
  </si>
  <si>
    <t>BOM-007</t>
  </si>
  <si>
    <t>RM-006</t>
  </si>
  <si>
    <t>Workbench Leg</t>
  </si>
  <si>
    <t>BOM-008</t>
  </si>
  <si>
    <t>RM-007</t>
  </si>
  <si>
    <t>Rubber Foot</t>
  </si>
  <si>
    <t>BOM-009</t>
  </si>
  <si>
    <t>BOM-010</t>
  </si>
  <si>
    <t>BOM-011</t>
  </si>
  <si>
    <t>RM-008</t>
  </si>
  <si>
    <t>Locker Handle</t>
  </si>
  <si>
    <t>BOM-012</t>
  </si>
  <si>
    <t>BOM-013</t>
  </si>
  <si>
    <t>Production Order</t>
  </si>
  <si>
    <t>Planned Date</t>
  </si>
  <si>
    <t>Planned Quantity</t>
  </si>
  <si>
    <t>Priority</t>
  </si>
  <si>
    <t>Production Line</t>
  </si>
  <si>
    <t>Status</t>
  </si>
  <si>
    <t>PO-260801</t>
  </si>
  <si>
    <t>High</t>
  </si>
  <si>
    <t>Line 1</t>
  </si>
  <si>
    <t>Planned</t>
  </si>
  <si>
    <t>PO-260802</t>
  </si>
  <si>
    <t>Medium</t>
  </si>
  <si>
    <t>PO-260803</t>
  </si>
  <si>
    <t>Line 2</t>
  </si>
  <si>
    <t>PO-260804</t>
  </si>
  <si>
    <t>PO-260805</t>
  </si>
  <si>
    <t>Low</t>
  </si>
  <si>
    <t>Date</t>
  </si>
  <si>
    <t>Planned Qty</t>
  </si>
  <si>
    <t>Actual Qty</t>
  </si>
  <si>
    <t>Good Qty</t>
  </si>
  <si>
    <t>Scrap Qty</t>
  </si>
  <si>
    <t>Production Hours</t>
  </si>
  <si>
    <t>Downtime Hours</t>
  </si>
  <si>
    <t>Operator</t>
  </si>
  <si>
    <t>Shift</t>
  </si>
  <si>
    <t>J Smith</t>
  </si>
  <si>
    <t>Day</t>
  </si>
  <si>
    <t>A Brown</t>
  </si>
  <si>
    <t>M Wilson</t>
  </si>
  <si>
    <t>Production Variance</t>
  </si>
  <si>
    <t>Achievement %</t>
  </si>
  <si>
    <t>Item Code</t>
  </si>
  <si>
    <t>Item Description</t>
  </si>
  <si>
    <t>Item Type</t>
  </si>
  <si>
    <t>Opening Stock</t>
  </si>
  <si>
    <t>Receipts</t>
  </si>
  <si>
    <t>Material Used</t>
  </si>
  <si>
    <t>Current Stock</t>
  </si>
  <si>
    <t>Reorder Level</t>
  </si>
  <si>
    <t>Reorder Qty</t>
  </si>
  <si>
    <t>Supplier</t>
  </si>
  <si>
    <t>Steel Suppliers Ltd</t>
  </si>
  <si>
    <t>Hardware Components Ltd</t>
  </si>
  <si>
    <t>Security Parts Ltd</t>
  </si>
  <si>
    <t>Powder Coatings Ltd</t>
  </si>
  <si>
    <t>Metal Components Ltd</t>
  </si>
  <si>
    <t>Rubber Products Ltd</t>
  </si>
  <si>
    <t>Purchase Order</t>
  </si>
  <si>
    <t>Order Date</t>
  </si>
  <si>
    <t>Required Date</t>
  </si>
  <si>
    <t>Quantity</t>
  </si>
  <si>
    <t>Unit Cost</t>
  </si>
  <si>
    <t>Total Cost</t>
  </si>
  <si>
    <t>PO-5001</t>
  </si>
  <si>
    <t>Ordered</t>
  </si>
  <si>
    <t>PO-5002</t>
  </si>
  <si>
    <t>PO-5003</t>
  </si>
  <si>
    <t>Pending</t>
  </si>
  <si>
    <t>Machine ID</t>
  </si>
  <si>
    <t>Machine Name</t>
  </si>
  <si>
    <t>Machine Type</t>
  </si>
  <si>
    <t>Available Hours</t>
  </si>
  <si>
    <t>Operating Hours</t>
  </si>
  <si>
    <t>Utilisation %</t>
  </si>
  <si>
    <t>M-001</t>
  </si>
  <si>
    <t>Laser Cutter</t>
  </si>
  <si>
    <t>Laser Cutting</t>
  </si>
  <si>
    <t>Operational</t>
  </si>
  <si>
    <t>M-002</t>
  </si>
  <si>
    <t>Press Brake</t>
  </si>
  <si>
    <t>Forming</t>
  </si>
  <si>
    <t>M-003</t>
  </si>
  <si>
    <t>Welding Station</t>
  </si>
  <si>
    <t>Welding</t>
  </si>
  <si>
    <t>M-004</t>
  </si>
  <si>
    <t>Powder Coating Line</t>
  </si>
  <si>
    <t>Painting</t>
  </si>
  <si>
    <t>M-005</t>
  </si>
  <si>
    <t>Assembly Station</t>
  </si>
  <si>
    <t>Assembly</t>
  </si>
  <si>
    <t>Maintenance ID</t>
  </si>
  <si>
    <t>Maintenance Type</t>
  </si>
  <si>
    <t>Actual Date</t>
  </si>
  <si>
    <t>Technician</t>
  </si>
  <si>
    <t>Cost</t>
  </si>
  <si>
    <t>Work Description</t>
  </si>
  <si>
    <t>MNT-001</t>
  </si>
  <si>
    <t>Preventive</t>
  </si>
  <si>
    <t>J Taylor</t>
  </si>
  <si>
    <t>Lens and filter replacement</t>
  </si>
  <si>
    <t>Completed</t>
  </si>
  <si>
    <t>MNT-002</t>
  </si>
  <si>
    <t>Hydraulic inspection</t>
  </si>
  <si>
    <t>Scheduled</t>
  </si>
  <si>
    <t>MNT-003</t>
  </si>
  <si>
    <t>Repair</t>
  </si>
  <si>
    <t>R Patel</t>
  </si>
  <si>
    <t>Heating element replacement</t>
  </si>
  <si>
    <t>Employee ID</t>
  </si>
  <si>
    <t>Employee Name</t>
  </si>
  <si>
    <t>Department</t>
  </si>
  <si>
    <t>Role</t>
  </si>
  <si>
    <t>Hours Worked</t>
  </si>
  <si>
    <t>Overtime Hours</t>
  </si>
  <si>
    <t>Absence</t>
  </si>
  <si>
    <t>EMP-001</t>
  </si>
  <si>
    <t>Production</t>
  </si>
  <si>
    <t>No</t>
  </si>
  <si>
    <t>EMP-002</t>
  </si>
  <si>
    <t>EMP-003</t>
  </si>
  <si>
    <t>EMP-004</t>
  </si>
  <si>
    <t>S Evans</t>
  </si>
  <si>
    <t>Quality</t>
  </si>
  <si>
    <t>Inspector</t>
  </si>
  <si>
    <t>QC</t>
  </si>
  <si>
    <t>EMP-005</t>
  </si>
  <si>
    <t>Maintenance</t>
  </si>
  <si>
    <t>Material Cost per Unit</t>
  </si>
  <si>
    <t>Labour Cost per Unit</t>
  </si>
  <si>
    <t>Machine Cost per Unit</t>
  </si>
  <si>
    <t>Total Production Cost</t>
  </si>
  <si>
    <t>Selling Price</t>
  </si>
  <si>
    <t>Gross Margin</t>
  </si>
  <si>
    <t>Gross Margin %</t>
  </si>
  <si>
    <t>FACTORY PERFORMANCE DASHBOARD</t>
  </si>
  <si>
    <t>KPI</t>
  </si>
  <si>
    <t>Actual</t>
  </si>
  <si>
    <t>Target</t>
  </si>
  <si>
    <t>Total Planned Units</t>
  </si>
  <si>
    <t>Total Actual Units</t>
  </si>
  <si>
    <t>Total Good Units</t>
  </si>
  <si>
    <t>Total Scrap Units</t>
  </si>
  <si>
    <t>&lt;10</t>
  </si>
  <si>
    <t>Production Achievement %</t>
  </si>
  <si>
    <t>Scrap Rate %</t>
  </si>
  <si>
    <t>&lt;2%</t>
  </si>
  <si>
    <t>Total Downtime Hours</t>
  </si>
  <si>
    <t>&lt;20</t>
  </si>
  <si>
    <t>Average Machine Utilisation</t>
  </si>
  <si>
    <t>&gt;85%</t>
  </si>
  <si>
    <t>Total Maintenance Cost</t>
  </si>
  <si>
    <t>-</t>
  </si>
  <si>
    <t>Purchase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</si>
</sst>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8" sqref="B8"/>
    </sheetView>
  </sheetViews>
  <sheetFormatPr defaultRowHeight="14.25" x14ac:dyDescent="0.45"/>
  <sheetData>
    <row r="1" spans="1:3" x14ac:dyDescent="0.45">
      <c r="A1" t="s">
        <v>182</v>
      </c>
    </row>
    <row r="2" spans="1:3" x14ac:dyDescent="0.45">
      <c r="A2" t="s">
        <v>183</v>
      </c>
      <c r="B2" t="s">
        <v>184</v>
      </c>
      <c r="C2" t="s">
        <v>185</v>
      </c>
    </row>
    <row r="3" spans="1:3" x14ac:dyDescent="0.45">
      <c r="A3" t="s">
        <v>186</v>
      </c>
      <c r="B3">
        <f>SUM(ProductionPlan!E:E)</f>
        <v>495</v>
      </c>
      <c r="C3">
        <v>500</v>
      </c>
    </row>
    <row r="4" spans="1:3" x14ac:dyDescent="0.45">
      <c r="A4" t="s">
        <v>187</v>
      </c>
      <c r="B4">
        <f>SUM(DailyProduction!F:F)</f>
        <v>296</v>
      </c>
      <c r="C4">
        <v>500</v>
      </c>
    </row>
    <row r="5" spans="1:3" x14ac:dyDescent="0.45">
      <c r="A5" t="s">
        <v>188</v>
      </c>
      <c r="B5">
        <f>SUM(DailyProduction!G:G)</f>
        <v>290</v>
      </c>
      <c r="C5">
        <v>490</v>
      </c>
    </row>
    <row r="6" spans="1:3" x14ac:dyDescent="0.45">
      <c r="A6" t="s">
        <v>189</v>
      </c>
      <c r="B6">
        <f>SUM(DailyProduction!H:H)</f>
        <v>6</v>
      </c>
      <c r="C6" t="s">
        <v>190</v>
      </c>
    </row>
    <row r="7" spans="1:3" x14ac:dyDescent="0.45">
      <c r="A7" t="s">
        <v>191</v>
      </c>
      <c r="B7">
        <f>IFERROR(B4/B3,0)</f>
        <v>0.59797979797979794</v>
      </c>
      <c r="C7" s="1">
        <v>1</v>
      </c>
    </row>
    <row r="8" spans="1:3" x14ac:dyDescent="0.45">
      <c r="A8" t="s">
        <v>192</v>
      </c>
      <c r="B8">
        <f>IFERROR(B6/B4,0)</f>
        <v>2.0270270270270271E-2</v>
      </c>
      <c r="C8" t="s">
        <v>193</v>
      </c>
    </row>
    <row r="9" spans="1:3" x14ac:dyDescent="0.45">
      <c r="A9" t="s">
        <v>194</v>
      </c>
      <c r="B9">
        <f>SUM(DailyProduction!J:J)</f>
        <v>13</v>
      </c>
      <c r="C9" t="s">
        <v>195</v>
      </c>
    </row>
    <row r="10" spans="1:3" x14ac:dyDescent="0.45">
      <c r="A10" t="s">
        <v>196</v>
      </c>
      <c r="B10">
        <f>AVERAGE(Machines!H:H)</f>
        <v>0.90625</v>
      </c>
      <c r="C10" t="s">
        <v>197</v>
      </c>
    </row>
    <row r="11" spans="1:3" x14ac:dyDescent="0.45">
      <c r="A11" t="s">
        <v>198</v>
      </c>
      <c r="B11">
        <f>SUM(Maintenance!I:I)</f>
        <v>1400</v>
      </c>
      <c r="C11" t="s">
        <v>199</v>
      </c>
    </row>
    <row r="12" spans="1:3" x14ac:dyDescent="0.45">
      <c r="A12" t="s">
        <v>200</v>
      </c>
      <c r="B12">
        <f>SUM(Purchasing!I:I)</f>
        <v>8750</v>
      </c>
      <c r="C12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AEE3-767F-4730-BE0D-69D3330F2865}">
  <dimension ref="A1:G5"/>
  <sheetViews>
    <sheetView workbookViewId="0">
      <selection activeCell="I19" sqref="I19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>
        <v>185</v>
      </c>
      <c r="F2">
        <v>1.5</v>
      </c>
      <c r="G2" t="s">
        <v>11</v>
      </c>
    </row>
    <row r="3" spans="1:7" x14ac:dyDescent="0.45">
      <c r="A3" t="s">
        <v>12</v>
      </c>
      <c r="B3" t="s">
        <v>13</v>
      </c>
      <c r="C3" t="s">
        <v>9</v>
      </c>
      <c r="D3" t="s">
        <v>10</v>
      </c>
      <c r="E3">
        <v>320</v>
      </c>
      <c r="F3">
        <v>2.5</v>
      </c>
      <c r="G3" t="s">
        <v>11</v>
      </c>
    </row>
    <row r="4" spans="1:7" x14ac:dyDescent="0.45">
      <c r="A4" t="s">
        <v>14</v>
      </c>
      <c r="B4" t="s">
        <v>15</v>
      </c>
      <c r="C4" t="s">
        <v>9</v>
      </c>
      <c r="D4" t="s">
        <v>10</v>
      </c>
      <c r="E4">
        <v>145</v>
      </c>
      <c r="F4">
        <v>1.2</v>
      </c>
      <c r="G4" t="s">
        <v>11</v>
      </c>
    </row>
    <row r="5" spans="1:7" x14ac:dyDescent="0.45">
      <c r="A5" t="s">
        <v>16</v>
      </c>
      <c r="B5" t="s">
        <v>17</v>
      </c>
      <c r="C5" t="s">
        <v>9</v>
      </c>
      <c r="D5" t="s">
        <v>10</v>
      </c>
      <c r="E5">
        <v>275</v>
      </c>
      <c r="F5">
        <v>2</v>
      </c>
      <c r="G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8AC7-A22D-4E8B-B8C5-BA5AE8B564DC}">
  <dimension ref="A1:J14"/>
  <sheetViews>
    <sheetView workbookViewId="0">
      <selection activeCell="E23" sqref="E23"/>
    </sheetView>
  </sheetViews>
  <sheetFormatPr defaultRowHeight="14.25" x14ac:dyDescent="0.45"/>
  <sheetData>
    <row r="1" spans="1:10" x14ac:dyDescent="0.45">
      <c r="A1" t="s">
        <v>18</v>
      </c>
      <c r="B1" t="s">
        <v>0</v>
      </c>
      <c r="C1" t="s">
        <v>1</v>
      </c>
      <c r="D1" t="s">
        <v>19</v>
      </c>
      <c r="E1" t="s">
        <v>20</v>
      </c>
      <c r="F1" t="s">
        <v>21</v>
      </c>
      <c r="G1" t="s">
        <v>22</v>
      </c>
      <c r="H1" t="s">
        <v>3</v>
      </c>
      <c r="I1" t="s">
        <v>23</v>
      </c>
      <c r="J1" t="s">
        <v>24</v>
      </c>
    </row>
    <row r="2" spans="1:10" x14ac:dyDescent="0.45">
      <c r="A2" t="s">
        <v>25</v>
      </c>
      <c r="B2" t="s">
        <v>7</v>
      </c>
      <c r="C2" t="s">
        <v>8</v>
      </c>
      <c r="D2" t="s">
        <v>26</v>
      </c>
      <c r="E2" t="s">
        <v>27</v>
      </c>
      <c r="F2" t="s">
        <v>28</v>
      </c>
      <c r="G2">
        <v>2.5</v>
      </c>
      <c r="H2" t="s">
        <v>29</v>
      </c>
      <c r="I2" s="1">
        <v>0.02</v>
      </c>
      <c r="J2" s="2">
        <v>46023</v>
      </c>
    </row>
    <row r="3" spans="1:10" x14ac:dyDescent="0.45">
      <c r="A3" t="s">
        <v>30</v>
      </c>
      <c r="B3" t="s">
        <v>7</v>
      </c>
      <c r="C3" t="s">
        <v>8</v>
      </c>
      <c r="D3" t="s">
        <v>31</v>
      </c>
      <c r="E3" t="s">
        <v>32</v>
      </c>
      <c r="F3" t="s">
        <v>33</v>
      </c>
      <c r="G3">
        <v>1</v>
      </c>
      <c r="H3" t="s">
        <v>10</v>
      </c>
      <c r="I3" s="1">
        <v>0</v>
      </c>
      <c r="J3" s="2">
        <v>46023</v>
      </c>
    </row>
    <row r="4" spans="1:10" x14ac:dyDescent="0.45">
      <c r="A4" t="s">
        <v>34</v>
      </c>
      <c r="B4" t="s">
        <v>7</v>
      </c>
      <c r="C4" t="s">
        <v>8</v>
      </c>
      <c r="D4" t="s">
        <v>35</v>
      </c>
      <c r="E4" t="s">
        <v>36</v>
      </c>
      <c r="F4" t="s">
        <v>33</v>
      </c>
      <c r="G4">
        <v>2</v>
      </c>
      <c r="H4" t="s">
        <v>10</v>
      </c>
      <c r="I4" s="1">
        <v>0.01</v>
      </c>
      <c r="J4" s="2">
        <v>46023</v>
      </c>
    </row>
    <row r="5" spans="1:10" x14ac:dyDescent="0.45">
      <c r="A5" t="s">
        <v>37</v>
      </c>
      <c r="B5" t="s">
        <v>7</v>
      </c>
      <c r="C5" t="s">
        <v>8</v>
      </c>
      <c r="D5" t="s">
        <v>38</v>
      </c>
      <c r="E5" t="s">
        <v>39</v>
      </c>
      <c r="F5" t="s">
        <v>33</v>
      </c>
      <c r="G5">
        <v>1</v>
      </c>
      <c r="H5" t="s">
        <v>10</v>
      </c>
      <c r="I5" s="1">
        <v>0</v>
      </c>
      <c r="J5" s="2">
        <v>46023</v>
      </c>
    </row>
    <row r="6" spans="1:10" x14ac:dyDescent="0.45">
      <c r="A6" t="s">
        <v>40</v>
      </c>
      <c r="B6" t="s">
        <v>7</v>
      </c>
      <c r="C6" t="s">
        <v>8</v>
      </c>
      <c r="D6" t="s">
        <v>41</v>
      </c>
      <c r="E6" t="s">
        <v>42</v>
      </c>
      <c r="F6" t="s">
        <v>28</v>
      </c>
      <c r="G6">
        <v>0.35</v>
      </c>
      <c r="H6" t="s">
        <v>29</v>
      </c>
      <c r="I6" s="1">
        <v>0.05</v>
      </c>
      <c r="J6" s="2">
        <v>46023</v>
      </c>
    </row>
    <row r="7" spans="1:10" x14ac:dyDescent="0.45">
      <c r="A7" t="s">
        <v>43</v>
      </c>
      <c r="B7" t="s">
        <v>12</v>
      </c>
      <c r="C7" t="s">
        <v>13</v>
      </c>
      <c r="D7" t="s">
        <v>26</v>
      </c>
      <c r="E7" t="s">
        <v>27</v>
      </c>
      <c r="F7" t="s">
        <v>28</v>
      </c>
      <c r="G7">
        <v>4.5</v>
      </c>
      <c r="H7" t="s">
        <v>29</v>
      </c>
      <c r="I7" s="1">
        <v>0.02</v>
      </c>
      <c r="J7" s="2">
        <v>46023</v>
      </c>
    </row>
    <row r="8" spans="1:10" x14ac:dyDescent="0.45">
      <c r="A8" t="s">
        <v>44</v>
      </c>
      <c r="B8" t="s">
        <v>12</v>
      </c>
      <c r="C8" t="s">
        <v>13</v>
      </c>
      <c r="D8" t="s">
        <v>45</v>
      </c>
      <c r="E8" t="s">
        <v>46</v>
      </c>
      <c r="F8" t="s">
        <v>33</v>
      </c>
      <c r="G8">
        <v>4</v>
      </c>
      <c r="H8" t="s">
        <v>10</v>
      </c>
      <c r="I8" s="1">
        <v>0</v>
      </c>
      <c r="J8" s="2">
        <v>46023</v>
      </c>
    </row>
    <row r="9" spans="1:10" x14ac:dyDescent="0.45">
      <c r="A9" t="s">
        <v>47</v>
      </c>
      <c r="B9" t="s">
        <v>12</v>
      </c>
      <c r="C9" t="s">
        <v>13</v>
      </c>
      <c r="D9" t="s">
        <v>48</v>
      </c>
      <c r="E9" t="s">
        <v>49</v>
      </c>
      <c r="F9" t="s">
        <v>33</v>
      </c>
      <c r="G9">
        <v>4</v>
      </c>
      <c r="H9" t="s">
        <v>10</v>
      </c>
      <c r="I9" s="1">
        <v>0.01</v>
      </c>
      <c r="J9" s="2">
        <v>46023</v>
      </c>
    </row>
    <row r="10" spans="1:10" x14ac:dyDescent="0.45">
      <c r="A10" t="s">
        <v>50</v>
      </c>
      <c r="B10" t="s">
        <v>12</v>
      </c>
      <c r="C10" t="s">
        <v>13</v>
      </c>
      <c r="D10" t="s">
        <v>41</v>
      </c>
      <c r="E10" t="s">
        <v>42</v>
      </c>
      <c r="F10" t="s">
        <v>28</v>
      </c>
      <c r="G10">
        <v>0.5</v>
      </c>
      <c r="H10" t="s">
        <v>29</v>
      </c>
      <c r="I10" s="1">
        <v>0.05</v>
      </c>
      <c r="J10" s="2">
        <v>46023</v>
      </c>
    </row>
    <row r="11" spans="1:10" x14ac:dyDescent="0.45">
      <c r="A11" t="s">
        <v>51</v>
      </c>
      <c r="B11" t="s">
        <v>14</v>
      </c>
      <c r="C11" t="s">
        <v>15</v>
      </c>
      <c r="D11" t="s">
        <v>26</v>
      </c>
      <c r="E11" t="s">
        <v>27</v>
      </c>
      <c r="F11" t="s">
        <v>28</v>
      </c>
      <c r="G11">
        <v>1.8</v>
      </c>
      <c r="H11" t="s">
        <v>29</v>
      </c>
      <c r="I11" s="1">
        <v>0.02</v>
      </c>
      <c r="J11" s="2">
        <v>46023</v>
      </c>
    </row>
    <row r="12" spans="1:10" x14ac:dyDescent="0.45">
      <c r="A12" t="s">
        <v>52</v>
      </c>
      <c r="B12" t="s">
        <v>14</v>
      </c>
      <c r="C12" t="s">
        <v>15</v>
      </c>
      <c r="D12" t="s">
        <v>53</v>
      </c>
      <c r="E12" t="s">
        <v>54</v>
      </c>
      <c r="F12" t="s">
        <v>33</v>
      </c>
      <c r="G12">
        <v>1</v>
      </c>
      <c r="H12" t="s">
        <v>10</v>
      </c>
      <c r="I12" s="1">
        <v>0</v>
      </c>
      <c r="J12" s="2">
        <v>46023</v>
      </c>
    </row>
    <row r="13" spans="1:10" x14ac:dyDescent="0.45">
      <c r="A13" t="s">
        <v>55</v>
      </c>
      <c r="B13" t="s">
        <v>14</v>
      </c>
      <c r="C13" t="s">
        <v>15</v>
      </c>
      <c r="D13" t="s">
        <v>35</v>
      </c>
      <c r="E13" t="s">
        <v>36</v>
      </c>
      <c r="F13" t="s">
        <v>33</v>
      </c>
      <c r="G13">
        <v>2</v>
      </c>
      <c r="H13" t="s">
        <v>10</v>
      </c>
      <c r="I13" s="1">
        <v>0.01</v>
      </c>
      <c r="J13" s="2">
        <v>46023</v>
      </c>
    </row>
    <row r="14" spans="1:10" x14ac:dyDescent="0.45">
      <c r="A14" t="s">
        <v>56</v>
      </c>
      <c r="B14" t="s">
        <v>14</v>
      </c>
      <c r="C14" t="s">
        <v>15</v>
      </c>
      <c r="D14" t="s">
        <v>41</v>
      </c>
      <c r="E14" t="s">
        <v>42</v>
      </c>
      <c r="F14" t="s">
        <v>28</v>
      </c>
      <c r="G14">
        <v>0.25</v>
      </c>
      <c r="H14" t="s">
        <v>29</v>
      </c>
      <c r="I14" s="1">
        <v>0.05</v>
      </c>
      <c r="J14" s="2">
        <v>46023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E4EB-C5C3-4A13-8631-773B47845C3D}">
  <dimension ref="A1:H6"/>
  <sheetViews>
    <sheetView workbookViewId="0">
      <selection activeCell="D14" sqref="D14"/>
    </sheetView>
  </sheetViews>
  <sheetFormatPr defaultRowHeight="14.25" x14ac:dyDescent="0.45"/>
  <sheetData>
    <row r="1" spans="1:8" x14ac:dyDescent="0.45">
      <c r="A1" t="s">
        <v>57</v>
      </c>
      <c r="B1" t="s">
        <v>58</v>
      </c>
      <c r="C1" t="s">
        <v>0</v>
      </c>
      <c r="D1" t="s">
        <v>1</v>
      </c>
      <c r="E1" t="s">
        <v>59</v>
      </c>
      <c r="F1" t="s">
        <v>60</v>
      </c>
      <c r="G1" t="s">
        <v>61</v>
      </c>
      <c r="H1" t="s">
        <v>62</v>
      </c>
    </row>
    <row r="2" spans="1:8" x14ac:dyDescent="0.45">
      <c r="A2" t="s">
        <v>63</v>
      </c>
      <c r="B2" s="2">
        <v>46252</v>
      </c>
      <c r="C2" t="s">
        <v>7</v>
      </c>
      <c r="D2" t="s">
        <v>8</v>
      </c>
      <c r="E2">
        <v>100</v>
      </c>
      <c r="F2" t="s">
        <v>64</v>
      </c>
      <c r="G2" t="s">
        <v>65</v>
      </c>
      <c r="H2" t="s">
        <v>66</v>
      </c>
    </row>
    <row r="3" spans="1:8" x14ac:dyDescent="0.45">
      <c r="A3" t="s">
        <v>67</v>
      </c>
      <c r="B3" s="2">
        <v>46252</v>
      </c>
      <c r="C3" t="s">
        <v>12</v>
      </c>
      <c r="D3" t="s">
        <v>13</v>
      </c>
      <c r="E3">
        <v>50</v>
      </c>
      <c r="F3" t="s">
        <v>68</v>
      </c>
      <c r="G3" t="s">
        <v>65</v>
      </c>
      <c r="H3" t="s">
        <v>66</v>
      </c>
    </row>
    <row r="4" spans="1:8" x14ac:dyDescent="0.45">
      <c r="A4" t="s">
        <v>69</v>
      </c>
      <c r="B4" s="2">
        <v>46253</v>
      </c>
      <c r="C4" t="s">
        <v>14</v>
      </c>
      <c r="D4" t="s">
        <v>15</v>
      </c>
      <c r="E4">
        <v>150</v>
      </c>
      <c r="F4" t="s">
        <v>64</v>
      </c>
      <c r="G4" t="s">
        <v>70</v>
      </c>
      <c r="H4" t="s">
        <v>66</v>
      </c>
    </row>
    <row r="5" spans="1:8" x14ac:dyDescent="0.45">
      <c r="A5" t="s">
        <v>71</v>
      </c>
      <c r="B5" s="2">
        <v>46253</v>
      </c>
      <c r="C5" t="s">
        <v>7</v>
      </c>
      <c r="D5" t="s">
        <v>8</v>
      </c>
      <c r="E5">
        <v>120</v>
      </c>
      <c r="F5" t="s">
        <v>68</v>
      </c>
      <c r="G5" t="s">
        <v>65</v>
      </c>
      <c r="H5" t="s">
        <v>66</v>
      </c>
    </row>
    <row r="6" spans="1:8" x14ac:dyDescent="0.45">
      <c r="A6" t="s">
        <v>72</v>
      </c>
      <c r="B6" s="2">
        <v>46254</v>
      </c>
      <c r="C6" t="s">
        <v>16</v>
      </c>
      <c r="D6" t="s">
        <v>17</v>
      </c>
      <c r="E6">
        <v>75</v>
      </c>
      <c r="F6" t="s">
        <v>73</v>
      </c>
      <c r="G6" t="s">
        <v>70</v>
      </c>
      <c r="H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B2B3-A8AB-4D58-AFF8-22828497B111}">
  <dimension ref="A1:O4"/>
  <sheetViews>
    <sheetView workbookViewId="0">
      <selection activeCell="N4" sqref="N4"/>
    </sheetView>
  </sheetViews>
  <sheetFormatPr defaultRowHeight="14.25" x14ac:dyDescent="0.45"/>
  <sheetData>
    <row r="1" spans="1:15" x14ac:dyDescent="0.45">
      <c r="A1" t="s">
        <v>74</v>
      </c>
      <c r="B1" t="s">
        <v>57</v>
      </c>
      <c r="C1" t="s">
        <v>0</v>
      </c>
      <c r="D1" t="s">
        <v>1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87</v>
      </c>
      <c r="N1" t="s">
        <v>88</v>
      </c>
      <c r="O1" t="s">
        <v>23</v>
      </c>
    </row>
    <row r="2" spans="1:15" x14ac:dyDescent="0.45">
      <c r="A2" s="2">
        <v>46252</v>
      </c>
      <c r="B2" t="s">
        <v>63</v>
      </c>
      <c r="C2" t="s">
        <v>7</v>
      </c>
      <c r="D2" t="s">
        <v>8</v>
      </c>
      <c r="E2">
        <v>100</v>
      </c>
      <c r="F2">
        <v>96</v>
      </c>
      <c r="G2">
        <v>94</v>
      </c>
      <c r="H2">
        <v>2</v>
      </c>
      <c r="I2">
        <v>142</v>
      </c>
      <c r="J2">
        <v>6</v>
      </c>
      <c r="K2" t="s">
        <v>83</v>
      </c>
      <c r="L2" t="s">
        <v>84</v>
      </c>
      <c r="M2">
        <f>E2-F2</f>
        <v>4</v>
      </c>
      <c r="N2">
        <f>IFERROR(F2/E2,0)</f>
        <v>0.96</v>
      </c>
      <c r="O2">
        <f>IFERROR(H2/F2,0)</f>
        <v>2.0833333333333332E-2</v>
      </c>
    </row>
    <row r="3" spans="1:15" x14ac:dyDescent="0.45">
      <c r="A3" s="2">
        <v>46252</v>
      </c>
      <c r="B3" t="s">
        <v>67</v>
      </c>
      <c r="C3" t="s">
        <v>12</v>
      </c>
      <c r="D3" t="s">
        <v>13</v>
      </c>
      <c r="E3">
        <v>50</v>
      </c>
      <c r="F3">
        <v>48</v>
      </c>
      <c r="G3">
        <v>47</v>
      </c>
      <c r="H3">
        <v>1</v>
      </c>
      <c r="I3">
        <v>121</v>
      </c>
      <c r="J3">
        <v>4</v>
      </c>
      <c r="K3" t="s">
        <v>85</v>
      </c>
      <c r="L3" t="s">
        <v>84</v>
      </c>
      <c r="M3">
        <f t="shared" ref="M3:M4" si="0">E3-F3</f>
        <v>2</v>
      </c>
      <c r="N3">
        <f t="shared" ref="N3:N4" si="1">IFERROR(F3/E3,0)</f>
        <v>0.96</v>
      </c>
      <c r="O3">
        <f t="shared" ref="O3:O4" si="2">IFERROR(H3/F3,0)</f>
        <v>2.0833333333333332E-2</v>
      </c>
    </row>
    <row r="4" spans="1:15" x14ac:dyDescent="0.45">
      <c r="A4" s="2">
        <v>46253</v>
      </c>
      <c r="B4" t="s">
        <v>69</v>
      </c>
      <c r="C4" t="s">
        <v>14</v>
      </c>
      <c r="D4" t="s">
        <v>15</v>
      </c>
      <c r="E4">
        <v>150</v>
      </c>
      <c r="F4">
        <v>152</v>
      </c>
      <c r="G4">
        <v>149</v>
      </c>
      <c r="H4">
        <v>3</v>
      </c>
      <c r="I4">
        <v>184</v>
      </c>
      <c r="J4">
        <v>3</v>
      </c>
      <c r="K4" t="s">
        <v>86</v>
      </c>
      <c r="L4" t="s">
        <v>84</v>
      </c>
      <c r="M4">
        <f t="shared" si="0"/>
        <v>-2</v>
      </c>
      <c r="N4">
        <f t="shared" si="1"/>
        <v>1.0133333333333334</v>
      </c>
      <c r="O4">
        <f t="shared" si="2"/>
        <v>1.9736842105263157E-2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49709-1C21-47B7-9B95-8F94F24A4492}">
  <dimension ref="A1:L9"/>
  <sheetViews>
    <sheetView workbookViewId="0">
      <selection activeCell="J20" sqref="J20"/>
    </sheetView>
  </sheetViews>
  <sheetFormatPr defaultRowHeight="14.25" x14ac:dyDescent="0.45"/>
  <sheetData>
    <row r="1" spans="1:12" x14ac:dyDescent="0.45">
      <c r="A1" t="s">
        <v>89</v>
      </c>
      <c r="B1" t="s">
        <v>90</v>
      </c>
      <c r="C1" t="s">
        <v>91</v>
      </c>
      <c r="D1" t="s">
        <v>3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62</v>
      </c>
    </row>
    <row r="2" spans="1:12" x14ac:dyDescent="0.45">
      <c r="A2" t="s">
        <v>26</v>
      </c>
      <c r="B2" t="s">
        <v>27</v>
      </c>
      <c r="C2" t="s">
        <v>28</v>
      </c>
      <c r="D2" t="s">
        <v>29</v>
      </c>
      <c r="E2">
        <v>2500</v>
      </c>
      <c r="F2">
        <v>500</v>
      </c>
      <c r="G2">
        <v>1350</v>
      </c>
      <c r="H2">
        <f>E2+F2-G2</f>
        <v>1650</v>
      </c>
      <c r="I2">
        <v>1000</v>
      </c>
      <c r="J2">
        <v>2000</v>
      </c>
      <c r="K2" t="s">
        <v>99</v>
      </c>
      <c r="L2" t="str">
        <f>IF(H2&lt;=I2,"REORDER","OK")</f>
        <v>OK</v>
      </c>
    </row>
    <row r="3" spans="1:12" x14ac:dyDescent="0.45">
      <c r="A3" t="s">
        <v>31</v>
      </c>
      <c r="B3" t="s">
        <v>32</v>
      </c>
      <c r="C3" t="s">
        <v>33</v>
      </c>
      <c r="D3" t="s">
        <v>10</v>
      </c>
      <c r="E3">
        <v>600</v>
      </c>
      <c r="F3">
        <v>0</v>
      </c>
      <c r="G3">
        <v>100</v>
      </c>
      <c r="H3">
        <f>E3+F3-G3</f>
        <v>500</v>
      </c>
      <c r="I3">
        <v>200</v>
      </c>
      <c r="J3">
        <v>500</v>
      </c>
      <c r="K3" t="s">
        <v>100</v>
      </c>
      <c r="L3" t="str">
        <f>IF(H3&lt;=I3,"REORDER","OK")</f>
        <v>OK</v>
      </c>
    </row>
    <row r="4" spans="1:12" x14ac:dyDescent="0.45">
      <c r="A4" t="s">
        <v>35</v>
      </c>
      <c r="B4" t="s">
        <v>36</v>
      </c>
      <c r="C4" t="s">
        <v>33</v>
      </c>
      <c r="D4" t="s">
        <v>10</v>
      </c>
      <c r="E4">
        <v>1200</v>
      </c>
      <c r="F4">
        <v>500</v>
      </c>
      <c r="G4">
        <v>300</v>
      </c>
      <c r="H4">
        <f>E4+F4-G4</f>
        <v>1400</v>
      </c>
      <c r="I4">
        <v>300</v>
      </c>
      <c r="J4">
        <v>1000</v>
      </c>
      <c r="K4" t="s">
        <v>100</v>
      </c>
      <c r="L4" t="str">
        <f>IF(H4&lt;=I4,"REORDER","OK")</f>
        <v>OK</v>
      </c>
    </row>
    <row r="5" spans="1:12" x14ac:dyDescent="0.45">
      <c r="A5" t="s">
        <v>38</v>
      </c>
      <c r="B5" t="s">
        <v>39</v>
      </c>
      <c r="C5" t="s">
        <v>33</v>
      </c>
      <c r="D5" t="s">
        <v>10</v>
      </c>
      <c r="E5">
        <v>400</v>
      </c>
      <c r="F5">
        <v>0</v>
      </c>
      <c r="G5">
        <v>100</v>
      </c>
      <c r="H5">
        <f>E5+F5-G5</f>
        <v>300</v>
      </c>
      <c r="I5">
        <v>150</v>
      </c>
      <c r="J5">
        <v>500</v>
      </c>
      <c r="K5" t="s">
        <v>101</v>
      </c>
      <c r="L5" t="str">
        <f>IF(H5&lt;=I5,"REORDER","OK")</f>
        <v>OK</v>
      </c>
    </row>
    <row r="6" spans="1:12" x14ac:dyDescent="0.45">
      <c r="A6" t="s">
        <v>41</v>
      </c>
      <c r="B6" t="s">
        <v>42</v>
      </c>
      <c r="C6" t="s">
        <v>28</v>
      </c>
      <c r="D6" t="s">
        <v>29</v>
      </c>
      <c r="E6">
        <v>300</v>
      </c>
      <c r="F6">
        <v>100</v>
      </c>
      <c r="G6">
        <v>60</v>
      </c>
      <c r="H6">
        <f>E6+F6-G6</f>
        <v>340</v>
      </c>
      <c r="I6">
        <v>100</v>
      </c>
      <c r="J6">
        <v>300</v>
      </c>
      <c r="K6" t="s">
        <v>102</v>
      </c>
      <c r="L6" t="str">
        <f>IF(H6&lt;=I6,"REORDER","OK")</f>
        <v>OK</v>
      </c>
    </row>
    <row r="7" spans="1:12" x14ac:dyDescent="0.45">
      <c r="A7" t="s">
        <v>45</v>
      </c>
      <c r="B7" t="s">
        <v>46</v>
      </c>
      <c r="C7" t="s">
        <v>33</v>
      </c>
      <c r="D7" t="s">
        <v>10</v>
      </c>
      <c r="E7">
        <v>250</v>
      </c>
      <c r="F7">
        <v>0</v>
      </c>
      <c r="G7">
        <v>200</v>
      </c>
      <c r="H7">
        <f>E7+F7-G7</f>
        <v>50</v>
      </c>
      <c r="I7">
        <v>100</v>
      </c>
      <c r="J7">
        <v>400</v>
      </c>
      <c r="K7" t="s">
        <v>103</v>
      </c>
      <c r="L7" t="str">
        <f>IF(H7&lt;=I7,"REORDER","OK")</f>
        <v>REORDER</v>
      </c>
    </row>
    <row r="8" spans="1:12" x14ac:dyDescent="0.45">
      <c r="A8" t="s">
        <v>48</v>
      </c>
      <c r="B8" t="s">
        <v>49</v>
      </c>
      <c r="C8" t="s">
        <v>33</v>
      </c>
      <c r="D8" t="s">
        <v>10</v>
      </c>
      <c r="E8">
        <v>300</v>
      </c>
      <c r="F8">
        <v>0</v>
      </c>
      <c r="G8">
        <v>200</v>
      </c>
      <c r="H8">
        <f>E8+F8-G8</f>
        <v>100</v>
      </c>
      <c r="I8">
        <v>100</v>
      </c>
      <c r="J8">
        <v>400</v>
      </c>
      <c r="K8" t="s">
        <v>104</v>
      </c>
      <c r="L8" t="str">
        <f>IF(H8&lt;=I8,"REORDER","OK")</f>
        <v>REORDER</v>
      </c>
    </row>
    <row r="9" spans="1:12" x14ac:dyDescent="0.45">
      <c r="A9" t="s">
        <v>53</v>
      </c>
      <c r="B9" t="s">
        <v>54</v>
      </c>
      <c r="C9" t="s">
        <v>33</v>
      </c>
      <c r="D9" t="s">
        <v>10</v>
      </c>
      <c r="E9">
        <v>300</v>
      </c>
      <c r="F9">
        <v>0</v>
      </c>
      <c r="G9">
        <v>150</v>
      </c>
      <c r="H9">
        <f>E9+F9-G9</f>
        <v>150</v>
      </c>
      <c r="I9">
        <v>100</v>
      </c>
      <c r="J9">
        <v>400</v>
      </c>
      <c r="K9" t="s">
        <v>100</v>
      </c>
      <c r="L9" t="str">
        <f>IF(H9&lt;=I9,"REORDER","OK")</f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5738-AB64-4F50-9591-45E640E3B693}">
  <dimension ref="A1:J4"/>
  <sheetViews>
    <sheetView workbookViewId="0">
      <selection activeCell="L24" sqref="L24"/>
    </sheetView>
  </sheetViews>
  <sheetFormatPr defaultRowHeight="14.25" x14ac:dyDescent="0.45"/>
  <sheetData>
    <row r="1" spans="1:10" x14ac:dyDescent="0.45">
      <c r="A1" t="s">
        <v>105</v>
      </c>
      <c r="B1" t="s">
        <v>98</v>
      </c>
      <c r="C1" t="s">
        <v>89</v>
      </c>
      <c r="D1" t="s">
        <v>90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62</v>
      </c>
    </row>
    <row r="2" spans="1:10" x14ac:dyDescent="0.45">
      <c r="A2" t="s">
        <v>111</v>
      </c>
      <c r="B2" t="s">
        <v>99</v>
      </c>
      <c r="C2" t="s">
        <v>26</v>
      </c>
      <c r="D2" t="s">
        <v>27</v>
      </c>
      <c r="E2" s="2">
        <v>46252</v>
      </c>
      <c r="F2" s="2">
        <v>46255</v>
      </c>
      <c r="G2">
        <v>2000</v>
      </c>
      <c r="H2">
        <v>2.8</v>
      </c>
      <c r="I2">
        <f>G2*H2</f>
        <v>5600</v>
      </c>
      <c r="J2" t="s">
        <v>112</v>
      </c>
    </row>
    <row r="3" spans="1:10" x14ac:dyDescent="0.45">
      <c r="A3" t="s">
        <v>113</v>
      </c>
      <c r="B3" t="s">
        <v>100</v>
      </c>
      <c r="C3" t="s">
        <v>35</v>
      </c>
      <c r="D3" t="s">
        <v>36</v>
      </c>
      <c r="E3" s="2">
        <v>46252</v>
      </c>
      <c r="F3" s="2">
        <v>46256</v>
      </c>
      <c r="G3">
        <v>1000</v>
      </c>
      <c r="H3">
        <v>1.2</v>
      </c>
      <c r="I3">
        <f>G3*H3</f>
        <v>1200</v>
      </c>
      <c r="J3" t="s">
        <v>112</v>
      </c>
    </row>
    <row r="4" spans="1:10" x14ac:dyDescent="0.45">
      <c r="A4" t="s">
        <v>114</v>
      </c>
      <c r="B4" t="s">
        <v>102</v>
      </c>
      <c r="C4" t="s">
        <v>41</v>
      </c>
      <c r="D4" t="s">
        <v>42</v>
      </c>
      <c r="E4" s="2">
        <v>46252</v>
      </c>
      <c r="F4" s="2">
        <v>46255</v>
      </c>
      <c r="G4">
        <v>300</v>
      </c>
      <c r="H4">
        <v>6.5</v>
      </c>
      <c r="I4">
        <f>G4*H4</f>
        <v>1950</v>
      </c>
      <c r="J4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7D9D-4B6E-4E29-B1A7-66999A5BA1C6}">
  <dimension ref="A1:I6"/>
  <sheetViews>
    <sheetView workbookViewId="0">
      <selection activeCell="M22" sqref="M22"/>
    </sheetView>
  </sheetViews>
  <sheetFormatPr defaultRowHeight="14.25" x14ac:dyDescent="0.45"/>
  <sheetData>
    <row r="1" spans="1:9" x14ac:dyDescent="0.45">
      <c r="A1" t="s">
        <v>116</v>
      </c>
      <c r="B1" t="s">
        <v>117</v>
      </c>
      <c r="C1" t="s">
        <v>118</v>
      </c>
      <c r="D1" t="s">
        <v>61</v>
      </c>
      <c r="E1" t="s">
        <v>119</v>
      </c>
      <c r="F1" t="s">
        <v>120</v>
      </c>
      <c r="G1" t="s">
        <v>80</v>
      </c>
      <c r="H1" t="s">
        <v>121</v>
      </c>
      <c r="I1" t="s">
        <v>62</v>
      </c>
    </row>
    <row r="2" spans="1:9" x14ac:dyDescent="0.45">
      <c r="A2" t="s">
        <v>122</v>
      </c>
      <c r="B2" t="s">
        <v>123</v>
      </c>
      <c r="C2" t="s">
        <v>124</v>
      </c>
      <c r="D2" t="s">
        <v>65</v>
      </c>
      <c r="E2">
        <v>160</v>
      </c>
      <c r="F2">
        <v>142</v>
      </c>
      <c r="G2">
        <v>18</v>
      </c>
      <c r="H2">
        <f>F2/E2</f>
        <v>0.88749999999999996</v>
      </c>
      <c r="I2" t="s">
        <v>125</v>
      </c>
    </row>
    <row r="3" spans="1:9" x14ac:dyDescent="0.45">
      <c r="A3" t="s">
        <v>126</v>
      </c>
      <c r="B3" t="s">
        <v>127</v>
      </c>
      <c r="C3" t="s">
        <v>128</v>
      </c>
      <c r="D3" t="s">
        <v>65</v>
      </c>
      <c r="E3">
        <v>160</v>
      </c>
      <c r="F3">
        <v>148</v>
      </c>
      <c r="G3">
        <v>12</v>
      </c>
      <c r="H3">
        <f>F3/E3</f>
        <v>0.92500000000000004</v>
      </c>
      <c r="I3" t="s">
        <v>125</v>
      </c>
    </row>
    <row r="4" spans="1:9" x14ac:dyDescent="0.45">
      <c r="A4" t="s">
        <v>129</v>
      </c>
      <c r="B4" t="s">
        <v>130</v>
      </c>
      <c r="C4" t="s">
        <v>131</v>
      </c>
      <c r="D4" t="s">
        <v>65</v>
      </c>
      <c r="E4">
        <v>160</v>
      </c>
      <c r="F4">
        <v>151</v>
      </c>
      <c r="G4">
        <v>9</v>
      </c>
      <c r="H4">
        <f>F4/E4</f>
        <v>0.94374999999999998</v>
      </c>
      <c r="I4" t="s">
        <v>125</v>
      </c>
    </row>
    <row r="5" spans="1:9" x14ac:dyDescent="0.45">
      <c r="A5" t="s">
        <v>132</v>
      </c>
      <c r="B5" t="s">
        <v>133</v>
      </c>
      <c r="C5" t="s">
        <v>134</v>
      </c>
      <c r="D5" t="s">
        <v>70</v>
      </c>
      <c r="E5">
        <v>160</v>
      </c>
      <c r="F5">
        <v>139</v>
      </c>
      <c r="G5">
        <v>21</v>
      </c>
      <c r="H5">
        <f>F5/E5</f>
        <v>0.86875000000000002</v>
      </c>
      <c r="I5" t="s">
        <v>125</v>
      </c>
    </row>
    <row r="6" spans="1:9" x14ac:dyDescent="0.45">
      <c r="A6" t="s">
        <v>135</v>
      </c>
      <c r="B6" t="s">
        <v>136</v>
      </c>
      <c r="C6" t="s">
        <v>137</v>
      </c>
      <c r="D6" t="s">
        <v>70</v>
      </c>
      <c r="E6">
        <v>160</v>
      </c>
      <c r="F6">
        <v>145</v>
      </c>
      <c r="G6">
        <v>15</v>
      </c>
      <c r="H6">
        <f>F6/E6</f>
        <v>0.90625</v>
      </c>
      <c r="I6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E1ED-9E1D-4480-9EF4-4703CC8744EB}">
  <dimension ref="A1:K4"/>
  <sheetViews>
    <sheetView workbookViewId="0">
      <selection sqref="A1:K4"/>
    </sheetView>
  </sheetViews>
  <sheetFormatPr defaultRowHeight="14.25" x14ac:dyDescent="0.45"/>
  <sheetData>
    <row r="1" spans="1:11" x14ac:dyDescent="0.45">
      <c r="A1" t="s">
        <v>138</v>
      </c>
      <c r="B1" t="s">
        <v>116</v>
      </c>
      <c r="C1" t="s">
        <v>117</v>
      </c>
      <c r="D1" t="s">
        <v>139</v>
      </c>
      <c r="E1" t="s">
        <v>58</v>
      </c>
      <c r="F1" t="s">
        <v>140</v>
      </c>
      <c r="G1" t="s">
        <v>80</v>
      </c>
      <c r="H1" t="s">
        <v>141</v>
      </c>
      <c r="I1" t="s">
        <v>142</v>
      </c>
      <c r="J1" t="s">
        <v>143</v>
      </c>
      <c r="K1" t="s">
        <v>62</v>
      </c>
    </row>
    <row r="2" spans="1:11" x14ac:dyDescent="0.45">
      <c r="A2" t="s">
        <v>144</v>
      </c>
      <c r="B2" t="s">
        <v>122</v>
      </c>
      <c r="C2" t="s">
        <v>123</v>
      </c>
      <c r="D2" t="s">
        <v>145</v>
      </c>
      <c r="E2" s="2">
        <v>46254</v>
      </c>
      <c r="F2" s="2">
        <v>46254</v>
      </c>
      <c r="G2">
        <v>4</v>
      </c>
      <c r="H2" t="s">
        <v>146</v>
      </c>
      <c r="I2">
        <v>350</v>
      </c>
      <c r="J2" t="s">
        <v>147</v>
      </c>
      <c r="K2" t="s">
        <v>148</v>
      </c>
    </row>
    <row r="3" spans="1:11" x14ac:dyDescent="0.45">
      <c r="A3" t="s">
        <v>149</v>
      </c>
      <c r="B3" t="s">
        <v>126</v>
      </c>
      <c r="C3" t="s">
        <v>127</v>
      </c>
      <c r="D3" t="s">
        <v>145</v>
      </c>
      <c r="E3" s="2">
        <v>46256</v>
      </c>
      <c r="H3" t="s">
        <v>146</v>
      </c>
      <c r="I3">
        <v>200</v>
      </c>
      <c r="J3" t="s">
        <v>150</v>
      </c>
      <c r="K3" t="s">
        <v>151</v>
      </c>
    </row>
    <row r="4" spans="1:11" x14ac:dyDescent="0.45">
      <c r="A4" t="s">
        <v>152</v>
      </c>
      <c r="B4" t="s">
        <v>132</v>
      </c>
      <c r="C4" t="s">
        <v>133</v>
      </c>
      <c r="D4" t="s">
        <v>153</v>
      </c>
      <c r="E4" s="2">
        <v>46251</v>
      </c>
      <c r="F4" s="2">
        <v>46251</v>
      </c>
      <c r="G4">
        <v>8</v>
      </c>
      <c r="H4" t="s">
        <v>154</v>
      </c>
      <c r="I4">
        <v>850</v>
      </c>
      <c r="J4" t="s">
        <v>155</v>
      </c>
      <c r="K4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8859-761D-4D55-8400-EEC432FE202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3DD8-F83F-47A4-8E4D-3E0C8EEDDB4F}">
  <dimension ref="A1:J6"/>
  <sheetViews>
    <sheetView workbookViewId="0">
      <selection activeCell="E13" sqref="E13"/>
    </sheetView>
  </sheetViews>
  <sheetFormatPr defaultRowHeight="14.25" x14ac:dyDescent="0.45"/>
  <sheetData>
    <row r="1" spans="1:10" x14ac:dyDescent="0.45">
      <c r="A1" t="s">
        <v>156</v>
      </c>
      <c r="B1" t="s">
        <v>157</v>
      </c>
      <c r="C1" t="s">
        <v>158</v>
      </c>
      <c r="D1" t="s">
        <v>159</v>
      </c>
      <c r="E1" t="s">
        <v>82</v>
      </c>
      <c r="F1" t="s">
        <v>74</v>
      </c>
      <c r="G1" t="s">
        <v>160</v>
      </c>
      <c r="H1" t="s">
        <v>161</v>
      </c>
      <c r="I1" t="s">
        <v>162</v>
      </c>
      <c r="J1" t="s">
        <v>57</v>
      </c>
    </row>
    <row r="2" spans="1:10" x14ac:dyDescent="0.45">
      <c r="A2" t="s">
        <v>163</v>
      </c>
      <c r="B2" t="s">
        <v>83</v>
      </c>
      <c r="C2" t="s">
        <v>164</v>
      </c>
      <c r="D2" t="s">
        <v>81</v>
      </c>
      <c r="E2" t="s">
        <v>84</v>
      </c>
      <c r="F2" s="2">
        <v>46252</v>
      </c>
      <c r="G2">
        <v>8</v>
      </c>
      <c r="H2">
        <v>1</v>
      </c>
      <c r="I2" t="s">
        <v>165</v>
      </c>
      <c r="J2" t="s">
        <v>63</v>
      </c>
    </row>
    <row r="3" spans="1:10" x14ac:dyDescent="0.45">
      <c r="A3" t="s">
        <v>166</v>
      </c>
      <c r="B3" t="s">
        <v>85</v>
      </c>
      <c r="C3" t="s">
        <v>164</v>
      </c>
      <c r="D3" t="s">
        <v>81</v>
      </c>
      <c r="E3" t="s">
        <v>84</v>
      </c>
      <c r="F3" s="2">
        <v>46252</v>
      </c>
      <c r="G3">
        <v>8</v>
      </c>
      <c r="H3">
        <v>0</v>
      </c>
      <c r="I3" t="s">
        <v>165</v>
      </c>
      <c r="J3" t="s">
        <v>67</v>
      </c>
    </row>
    <row r="4" spans="1:10" x14ac:dyDescent="0.45">
      <c r="A4" t="s">
        <v>167</v>
      </c>
      <c r="B4" t="s">
        <v>86</v>
      </c>
      <c r="C4" t="s">
        <v>164</v>
      </c>
      <c r="D4" t="s">
        <v>81</v>
      </c>
      <c r="E4" t="s">
        <v>84</v>
      </c>
      <c r="F4" s="2">
        <v>46253</v>
      </c>
      <c r="G4">
        <v>8</v>
      </c>
      <c r="H4">
        <v>0</v>
      </c>
      <c r="I4" t="s">
        <v>165</v>
      </c>
      <c r="J4" t="s">
        <v>69</v>
      </c>
    </row>
    <row r="5" spans="1:10" x14ac:dyDescent="0.45">
      <c r="A5" t="s">
        <v>168</v>
      </c>
      <c r="B5" t="s">
        <v>169</v>
      </c>
      <c r="C5" t="s">
        <v>170</v>
      </c>
      <c r="D5" t="s">
        <v>171</v>
      </c>
      <c r="E5" t="s">
        <v>84</v>
      </c>
      <c r="F5" s="2">
        <v>46252</v>
      </c>
      <c r="G5">
        <v>8</v>
      </c>
      <c r="H5">
        <v>0</v>
      </c>
      <c r="I5" t="s">
        <v>165</v>
      </c>
      <c r="J5" t="s">
        <v>172</v>
      </c>
    </row>
    <row r="6" spans="1:10" x14ac:dyDescent="0.45">
      <c r="A6" t="s">
        <v>173</v>
      </c>
      <c r="B6" t="s">
        <v>146</v>
      </c>
      <c r="C6" t="s">
        <v>174</v>
      </c>
      <c r="D6" t="s">
        <v>141</v>
      </c>
      <c r="E6" t="s">
        <v>84</v>
      </c>
      <c r="F6" s="2">
        <v>46252</v>
      </c>
      <c r="G6">
        <v>8</v>
      </c>
      <c r="H6">
        <v>0</v>
      </c>
      <c r="I6" t="s">
        <v>165</v>
      </c>
      <c r="J6" t="s">
        <v>174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0508-35E3-4DC9-954D-7CB37D556F08}">
  <dimension ref="A1:I4"/>
  <sheetViews>
    <sheetView workbookViewId="0">
      <selection activeCell="M23" sqref="M23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</row>
    <row r="2" spans="1:9" x14ac:dyDescent="0.45">
      <c r="A2" t="s">
        <v>7</v>
      </c>
      <c r="B2" t="s">
        <v>8</v>
      </c>
      <c r="C2">
        <f>SUMIF(BOM!B:B,A2,BOM!G:G)</f>
        <v>6.85</v>
      </c>
      <c r="D2">
        <v>25</v>
      </c>
      <c r="E2">
        <v>18</v>
      </c>
      <c r="F2">
        <f>C2+D2+E2</f>
        <v>49.85</v>
      </c>
      <c r="G2">
        <v>185</v>
      </c>
      <c r="H2">
        <f>G2-F2</f>
        <v>135.15</v>
      </c>
      <c r="I2">
        <f>H2/G2</f>
        <v>0.73054054054054052</v>
      </c>
    </row>
    <row r="3" spans="1:9" x14ac:dyDescent="0.45">
      <c r="A3" t="s">
        <v>12</v>
      </c>
      <c r="B3" t="s">
        <v>13</v>
      </c>
      <c r="C3">
        <f>SUMIF(BOM!B:B,A3,BOM!G:G)</f>
        <v>13</v>
      </c>
      <c r="D3">
        <v>40</v>
      </c>
      <c r="E3">
        <v>30</v>
      </c>
      <c r="F3">
        <f>C3+D3+E3</f>
        <v>83</v>
      </c>
      <c r="G3">
        <v>320</v>
      </c>
      <c r="H3">
        <f>G3-F3</f>
        <v>237</v>
      </c>
      <c r="I3">
        <f>H3/G3</f>
        <v>0.74062499999999998</v>
      </c>
    </row>
    <row r="4" spans="1:9" x14ac:dyDescent="0.45">
      <c r="A4" t="s">
        <v>14</v>
      </c>
      <c r="B4" t="s">
        <v>15</v>
      </c>
      <c r="C4">
        <f>SUMIF(BOM!B:B,A4,BOM!G:G)</f>
        <v>5.05</v>
      </c>
      <c r="D4">
        <v>20</v>
      </c>
      <c r="E4">
        <v>15</v>
      </c>
      <c r="F4">
        <f>C4+D4+E4</f>
        <v>40.049999999999997</v>
      </c>
      <c r="G4">
        <v>145</v>
      </c>
      <c r="H4">
        <f>G4-F4</f>
        <v>104.95</v>
      </c>
      <c r="I4">
        <f>H4/G4</f>
        <v>0.72379310344827585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Products</vt:lpstr>
      <vt:lpstr>BOM</vt:lpstr>
      <vt:lpstr>ProductionPlan</vt:lpstr>
      <vt:lpstr>DailyProduction</vt:lpstr>
      <vt:lpstr>Inventory</vt:lpstr>
      <vt:lpstr>Purchasing</vt:lpstr>
      <vt:lpstr>Machines</vt:lpstr>
      <vt:lpstr>Maintenance</vt:lpstr>
      <vt:lpstr>QualityControl</vt:lpstr>
      <vt:lpstr>Staff&amp;Shifts</vt:lpstr>
      <vt:lpstr>ProductCosting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Egan</dc:creator>
  <cp:lastModifiedBy>Joe Egan</cp:lastModifiedBy>
  <dcterms:created xsi:type="dcterms:W3CDTF">2015-06-05T18:17:20Z</dcterms:created>
  <dcterms:modified xsi:type="dcterms:W3CDTF">2026-08-18T14:03:24Z</dcterms:modified>
</cp:coreProperties>
</file>